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ik\Desktop\DB project\"/>
    </mc:Choice>
  </mc:AlternateContent>
  <xr:revisionPtr revIDLastSave="0" documentId="13_ncr:1_{1C09D392-FA15-4C2D-B60B-950BE99B6F5B}" xr6:coauthVersionLast="47" xr6:coauthVersionMax="47" xr10:uidLastSave="{00000000-0000-0000-0000-000000000000}"/>
  <bookViews>
    <workbookView xWindow="-108" yWindow="-108" windowWidth="23256" windowHeight="12576" xr2:uid="{AFB54306-9249-4B82-A706-DCE2D2E086F5}"/>
  </bookViews>
  <sheets>
    <sheet name="security_risk_data" sheetId="1" r:id="rId1"/>
  </sheets>
  <calcPr calcId="191029"/>
</workbook>
</file>

<file path=xl/calcChain.xml><?xml version="1.0" encoding="utf-8"?>
<calcChain xmlns="http://schemas.openxmlformats.org/spreadsheetml/2006/main">
  <c r="H3" i="1" l="1"/>
  <c r="H4" i="1"/>
  <c r="H5" i="1"/>
  <c r="H6" i="1"/>
  <c r="I6" i="1" s="1"/>
  <c r="H7" i="1"/>
  <c r="I7" i="1" s="1"/>
  <c r="H8" i="1"/>
  <c r="H9" i="1"/>
  <c r="H10" i="1"/>
  <c r="I10" i="1" s="1"/>
  <c r="H11" i="1"/>
  <c r="H12" i="1"/>
  <c r="I12" i="1" s="1"/>
  <c r="H13" i="1"/>
  <c r="H14" i="1"/>
  <c r="I14" i="1" s="1"/>
  <c r="H15" i="1"/>
  <c r="H16" i="1"/>
  <c r="H17" i="1"/>
  <c r="H18" i="1"/>
  <c r="H19" i="1"/>
  <c r="I19" i="1" s="1"/>
  <c r="H20" i="1"/>
  <c r="I20" i="1" s="1"/>
  <c r="H21" i="1"/>
  <c r="I21" i="1" s="1"/>
  <c r="H22" i="1"/>
  <c r="H23" i="1"/>
  <c r="H24" i="1"/>
  <c r="H25" i="1"/>
  <c r="I25" i="1" s="1"/>
  <c r="H26" i="1"/>
  <c r="H27" i="1"/>
  <c r="H28" i="1"/>
  <c r="H29" i="1"/>
  <c r="H30" i="1"/>
  <c r="I30" i="1" s="1"/>
  <c r="H31" i="1"/>
  <c r="H32" i="1"/>
  <c r="H33" i="1"/>
  <c r="I33" i="1" s="1"/>
  <c r="H34" i="1"/>
  <c r="I34" i="1" s="1"/>
  <c r="H35" i="1"/>
  <c r="H36" i="1"/>
  <c r="H37" i="1"/>
  <c r="I37" i="1" s="1"/>
  <c r="H38" i="1"/>
  <c r="I38" i="1" s="1"/>
  <c r="H39" i="1"/>
  <c r="H40" i="1"/>
  <c r="H41" i="1"/>
  <c r="H42" i="1"/>
  <c r="H43" i="1"/>
  <c r="H44" i="1"/>
  <c r="H45" i="1"/>
  <c r="I45" i="1" s="1"/>
  <c r="H46" i="1"/>
  <c r="I46" i="1" s="1"/>
  <c r="H47" i="1"/>
  <c r="I47" i="1" s="1"/>
  <c r="H48" i="1"/>
  <c r="H49" i="1"/>
  <c r="I49" i="1" s="1"/>
  <c r="H50" i="1"/>
  <c r="I50" i="1" s="1"/>
  <c r="H51" i="1"/>
  <c r="H2" i="1"/>
  <c r="I3" i="1"/>
  <c r="I8" i="1"/>
  <c r="I9" i="1"/>
  <c r="I11" i="1"/>
  <c r="I13" i="1"/>
  <c r="I17" i="1"/>
  <c r="I18" i="1"/>
  <c r="I22" i="1"/>
  <c r="I23" i="1"/>
  <c r="I24" i="1"/>
  <c r="I26" i="1"/>
  <c r="I29" i="1"/>
  <c r="I31" i="1"/>
  <c r="I32" i="1"/>
  <c r="I35" i="1"/>
  <c r="I36" i="1"/>
  <c r="I40" i="1"/>
  <c r="I42" i="1"/>
  <c r="I43" i="1"/>
  <c r="I44" i="1"/>
  <c r="I48" i="1"/>
  <c r="I2" i="1"/>
  <c r="I15" i="1"/>
  <c r="I16" i="1"/>
  <c r="I27" i="1"/>
  <c r="I28" i="1"/>
  <c r="I39" i="1"/>
  <c r="I41" i="1"/>
  <c r="I51" i="1"/>
  <c r="I4" i="1"/>
  <c r="I5" i="1"/>
</calcChain>
</file>

<file path=xl/sharedStrings.xml><?xml version="1.0" encoding="utf-8"?>
<sst xmlns="http://schemas.openxmlformats.org/spreadsheetml/2006/main" count="309" uniqueCount="126">
  <si>
    <t>Finding ID</t>
  </si>
  <si>
    <t>Security Risk</t>
  </si>
  <si>
    <t>Risk Level</t>
  </si>
  <si>
    <t>Department</t>
  </si>
  <si>
    <t>Status</t>
  </si>
  <si>
    <t>Due Date</t>
  </si>
  <si>
    <t>Owner</t>
  </si>
  <si>
    <t>F001</t>
  </si>
  <si>
    <t>Open Ports</t>
  </si>
  <si>
    <t>Low</t>
  </si>
  <si>
    <t>HR</t>
  </si>
  <si>
    <t>Closed</t>
  </si>
  <si>
    <t>User 1</t>
  </si>
  <si>
    <t>F002</t>
  </si>
  <si>
    <t>Unpatched Software</t>
  </si>
  <si>
    <t>High</t>
  </si>
  <si>
    <t>Operations</t>
  </si>
  <si>
    <t>In Progress</t>
  </si>
  <si>
    <t>User 2</t>
  </si>
  <si>
    <t>F003</t>
  </si>
  <si>
    <t>Weak Passwords</t>
  </si>
  <si>
    <t>IT</t>
  </si>
  <si>
    <t>Open</t>
  </si>
  <si>
    <t>User 3</t>
  </si>
  <si>
    <t>F004</t>
  </si>
  <si>
    <t>Phishing Emails</t>
  </si>
  <si>
    <t>Finance</t>
  </si>
  <si>
    <t>User 4</t>
  </si>
  <si>
    <t>F005</t>
  </si>
  <si>
    <t>Critical</t>
  </si>
  <si>
    <t>Overdue</t>
  </si>
  <si>
    <t>User 5</t>
  </si>
  <si>
    <t>F006</t>
  </si>
  <si>
    <t>Unencrypted Data</t>
  </si>
  <si>
    <t>User 6</t>
  </si>
  <si>
    <t>F007</t>
  </si>
  <si>
    <t>User 7</t>
  </si>
  <si>
    <t>F008</t>
  </si>
  <si>
    <t>User 8</t>
  </si>
  <si>
    <t>F009</t>
  </si>
  <si>
    <t>User 9</t>
  </si>
  <si>
    <t>F010</t>
  </si>
  <si>
    <t>User 10</t>
  </si>
  <si>
    <t>F011</t>
  </si>
  <si>
    <t>User 11</t>
  </si>
  <si>
    <t>F012</t>
  </si>
  <si>
    <t>Medium</t>
  </si>
  <si>
    <t>User 12</t>
  </si>
  <si>
    <t>F013</t>
  </si>
  <si>
    <t>User 13</t>
  </si>
  <si>
    <t>F014</t>
  </si>
  <si>
    <t>User 14</t>
  </si>
  <si>
    <t>F015</t>
  </si>
  <si>
    <t>User 15</t>
  </si>
  <si>
    <t>F016</t>
  </si>
  <si>
    <t>User 16</t>
  </si>
  <si>
    <t>F017</t>
  </si>
  <si>
    <t>User 17</t>
  </si>
  <si>
    <t>F018</t>
  </si>
  <si>
    <t>User 18</t>
  </si>
  <si>
    <t>F019</t>
  </si>
  <si>
    <t>User 19</t>
  </si>
  <si>
    <t>F020</t>
  </si>
  <si>
    <t>User 20</t>
  </si>
  <si>
    <t>F021</t>
  </si>
  <si>
    <t>User 21</t>
  </si>
  <si>
    <t>F022</t>
  </si>
  <si>
    <t>User 22</t>
  </si>
  <si>
    <t>F023</t>
  </si>
  <si>
    <t>User 23</t>
  </si>
  <si>
    <t>F024</t>
  </si>
  <si>
    <t>User 24</t>
  </si>
  <si>
    <t>F025</t>
  </si>
  <si>
    <t>User 25</t>
  </si>
  <si>
    <t>F026</t>
  </si>
  <si>
    <t>User 26</t>
  </si>
  <si>
    <t>F027</t>
  </si>
  <si>
    <t>User 27</t>
  </si>
  <si>
    <t>F028</t>
  </si>
  <si>
    <t>User 28</t>
  </si>
  <si>
    <t>F029</t>
  </si>
  <si>
    <t>User 29</t>
  </si>
  <si>
    <t>F030</t>
  </si>
  <si>
    <t>User 30</t>
  </si>
  <si>
    <t>F031</t>
  </si>
  <si>
    <t>User 31</t>
  </si>
  <si>
    <t>F032</t>
  </si>
  <si>
    <t>User 32</t>
  </si>
  <si>
    <t>F033</t>
  </si>
  <si>
    <t>User 33</t>
  </si>
  <si>
    <t>F034</t>
  </si>
  <si>
    <t>User 34</t>
  </si>
  <si>
    <t>F035</t>
  </si>
  <si>
    <t>User 35</t>
  </si>
  <si>
    <t>F036</t>
  </si>
  <si>
    <t>User 36</t>
  </si>
  <si>
    <t>F037</t>
  </si>
  <si>
    <t>User 37</t>
  </si>
  <si>
    <t>F038</t>
  </si>
  <si>
    <t>User 38</t>
  </si>
  <si>
    <t>F039</t>
  </si>
  <si>
    <t>User 39</t>
  </si>
  <si>
    <t>F040</t>
  </si>
  <si>
    <t>User 40</t>
  </si>
  <si>
    <t>F041</t>
  </si>
  <si>
    <t>User 41</t>
  </si>
  <si>
    <t>F042</t>
  </si>
  <si>
    <t>User 42</t>
  </si>
  <si>
    <t>F043</t>
  </si>
  <si>
    <t>User 43</t>
  </si>
  <si>
    <t>F044</t>
  </si>
  <si>
    <t>User 44</t>
  </si>
  <si>
    <t>F045</t>
  </si>
  <si>
    <t>User 45</t>
  </si>
  <si>
    <t>F046</t>
  </si>
  <si>
    <t>User 46</t>
  </si>
  <si>
    <t>F047</t>
  </si>
  <si>
    <t>User 47</t>
  </si>
  <si>
    <t>F048</t>
  </si>
  <si>
    <t>User 48</t>
  </si>
  <si>
    <t>F049</t>
  </si>
  <si>
    <t>User 49</t>
  </si>
  <si>
    <t>F050</t>
  </si>
  <si>
    <t>User 50</t>
  </si>
  <si>
    <t>Days Overdue</t>
  </si>
  <si>
    <t>Escalation Required?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</si>
</sst>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4" fontId="0" fillId="33" borderId="0" xfId="0" applyNumberFormat="1" applyFill="1"/>
    <xf numFmtId="14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7A80A-D8C9-4B6E-AF13-3B58A95B74B6}">
  <sheetPr codeName="Sheet1"/>
  <dimension ref="A1:I51"/>
  <sheetViews>
    <sheetView tabSelected="1" topLeftCell="A35" workbookViewId="0">
      <selection activeCell="E53" sqref="E53"/>
    </sheetView>
  </sheetViews>
  <sheetFormatPr defaultRowHeight="14.4" x14ac:dyDescent="0.3"/>
  <cols>
    <col min="2" max="2" width="18" bestFit="1" customWidth="1"/>
    <col min="4" max="4" width="10.77734375" bestFit="1" customWidth="1"/>
    <col min="5" max="5" width="9.88671875" bestFit="1" customWidth="1"/>
    <col min="6" max="6" width="10.33203125" bestFit="1" customWidth="1"/>
    <col min="7" max="7" width="7.21875" bestFit="1" customWidth="1"/>
    <col min="8" max="8" width="12.21875" bestFit="1" customWidth="1"/>
    <col min="9" max="9" width="18.1093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124</v>
      </c>
      <c r="I1" t="s">
        <v>125</v>
      </c>
    </row>
    <row r="2" spans="1:9" x14ac:dyDescent="0.3">
      <c r="A2" t="s">
        <v>7</v>
      </c>
      <c r="B2" t="s">
        <v>8</v>
      </c>
      <c r="C2" t="s">
        <v>9</v>
      </c>
      <c r="D2" t="s">
        <v>10</v>
      </c>
      <c r="E2" t="s">
        <v>11</v>
      </c>
      <c r="F2" s="2">
        <v>45694</v>
      </c>
      <c r="G2" t="s">
        <v>12</v>
      </c>
      <c r="H2" t="str">
        <f ca="1">IF(E2="Closed", "N/A", IF(TODAY()&gt;F2, TODAY()-F2, 0))</f>
        <v>N/A</v>
      </c>
      <c r="I2" t="str">
        <f>IF(OR(E2="Closed", E2="In Progress"), "NO", IF(AND(H2&gt;7, C2="High"), "YES", IF(AND(H2&gt;14, C2="Medium"), "YES", IF(C2="Critical", "YES", "NO"))))</f>
        <v>NO</v>
      </c>
    </row>
    <row r="3" spans="1:9" x14ac:dyDescent="0.3">
      <c r="A3" t="s">
        <v>13</v>
      </c>
      <c r="B3" t="s">
        <v>14</v>
      </c>
      <c r="C3" t="s">
        <v>15</v>
      </c>
      <c r="D3" t="s">
        <v>16</v>
      </c>
      <c r="E3" t="s">
        <v>17</v>
      </c>
      <c r="F3" s="1">
        <v>45773</v>
      </c>
      <c r="G3" t="s">
        <v>18</v>
      </c>
      <c r="H3">
        <f t="shared" ref="H3:H51" ca="1" si="0">IF(E3="Closed", "N/A", IF(TODAY()&gt;F3, TODAY()-F3, 0))</f>
        <v>0</v>
      </c>
      <c r="I3" t="str">
        <f t="shared" ref="I3:I51" si="1">IF(OR(E3="Closed", E3="In Progress"), "NO", IF(AND(H3&gt;7, C3="High"), "YES", IF(AND(H3&gt;14, C3="Medium"), "YES", IF(C3="Critical", "YES", "NO"))))</f>
        <v>NO</v>
      </c>
    </row>
    <row r="4" spans="1:9" x14ac:dyDescent="0.3">
      <c r="A4" t="s">
        <v>19</v>
      </c>
      <c r="B4" t="s">
        <v>20</v>
      </c>
      <c r="C4" t="s">
        <v>9</v>
      </c>
      <c r="D4" t="s">
        <v>21</v>
      </c>
      <c r="E4" t="s">
        <v>22</v>
      </c>
      <c r="F4" s="1">
        <v>45739</v>
      </c>
      <c r="G4" t="s">
        <v>23</v>
      </c>
      <c r="H4">
        <f t="shared" ca="1" si="0"/>
        <v>0</v>
      </c>
      <c r="I4" t="str">
        <f t="shared" ca="1" si="1"/>
        <v>NO</v>
      </c>
    </row>
    <row r="5" spans="1:9" x14ac:dyDescent="0.3">
      <c r="A5" t="s">
        <v>24</v>
      </c>
      <c r="B5" t="s">
        <v>25</v>
      </c>
      <c r="C5" t="s">
        <v>9</v>
      </c>
      <c r="D5" t="s">
        <v>26</v>
      </c>
      <c r="E5" t="s">
        <v>22</v>
      </c>
      <c r="F5" s="1">
        <v>45735</v>
      </c>
      <c r="G5" t="s">
        <v>27</v>
      </c>
      <c r="H5">
        <f t="shared" ca="1" si="0"/>
        <v>0</v>
      </c>
      <c r="I5" t="str">
        <f t="shared" ca="1" si="1"/>
        <v>NO</v>
      </c>
    </row>
    <row r="6" spans="1:9" x14ac:dyDescent="0.3">
      <c r="A6" t="s">
        <v>28</v>
      </c>
      <c r="B6" t="s">
        <v>25</v>
      </c>
      <c r="C6" t="s">
        <v>29</v>
      </c>
      <c r="D6" t="s">
        <v>26</v>
      </c>
      <c r="E6" t="s">
        <v>30</v>
      </c>
      <c r="F6" s="1">
        <v>45771</v>
      </c>
      <c r="G6" t="s">
        <v>31</v>
      </c>
      <c r="H6">
        <f t="shared" ca="1" si="0"/>
        <v>0</v>
      </c>
      <c r="I6" t="str">
        <f t="shared" ca="1" si="1"/>
        <v>YES</v>
      </c>
    </row>
    <row r="7" spans="1:9" x14ac:dyDescent="0.3">
      <c r="A7" t="s">
        <v>32</v>
      </c>
      <c r="B7" t="s">
        <v>33</v>
      </c>
      <c r="C7" t="s">
        <v>15</v>
      </c>
      <c r="D7" t="s">
        <v>10</v>
      </c>
      <c r="E7" t="s">
        <v>22</v>
      </c>
      <c r="F7" s="3">
        <v>45705</v>
      </c>
      <c r="G7" t="s">
        <v>34</v>
      </c>
      <c r="H7">
        <f t="shared" ca="1" si="0"/>
        <v>10</v>
      </c>
      <c r="I7" t="str">
        <f t="shared" ca="1" si="1"/>
        <v>YES</v>
      </c>
    </row>
    <row r="8" spans="1:9" x14ac:dyDescent="0.3">
      <c r="A8" t="s">
        <v>35</v>
      </c>
      <c r="B8" t="s">
        <v>33</v>
      </c>
      <c r="C8" t="s">
        <v>15</v>
      </c>
      <c r="D8" t="s">
        <v>26</v>
      </c>
      <c r="E8" t="s">
        <v>11</v>
      </c>
      <c r="F8" s="2">
        <v>45769</v>
      </c>
      <c r="G8" t="s">
        <v>36</v>
      </c>
      <c r="H8" t="str">
        <f t="shared" ca="1" si="0"/>
        <v>N/A</v>
      </c>
      <c r="I8" t="str">
        <f t="shared" si="1"/>
        <v>NO</v>
      </c>
    </row>
    <row r="9" spans="1:9" x14ac:dyDescent="0.3">
      <c r="A9" t="s">
        <v>37</v>
      </c>
      <c r="B9" t="s">
        <v>14</v>
      </c>
      <c r="C9" t="s">
        <v>29</v>
      </c>
      <c r="D9" t="s">
        <v>26</v>
      </c>
      <c r="E9" t="s">
        <v>17</v>
      </c>
      <c r="F9" s="1">
        <v>45746</v>
      </c>
      <c r="G9" t="s">
        <v>38</v>
      </c>
      <c r="H9">
        <f t="shared" ca="1" si="0"/>
        <v>0</v>
      </c>
      <c r="I9" t="str">
        <f t="shared" si="1"/>
        <v>NO</v>
      </c>
    </row>
    <row r="10" spans="1:9" x14ac:dyDescent="0.3">
      <c r="A10" t="s">
        <v>39</v>
      </c>
      <c r="B10" t="s">
        <v>25</v>
      </c>
      <c r="C10" t="s">
        <v>29</v>
      </c>
      <c r="D10" t="s">
        <v>10</v>
      </c>
      <c r="E10" t="s">
        <v>30</v>
      </c>
      <c r="F10" s="1">
        <v>45733</v>
      </c>
      <c r="G10" t="s">
        <v>40</v>
      </c>
      <c r="H10">
        <f t="shared" ca="1" si="0"/>
        <v>0</v>
      </c>
      <c r="I10" t="str">
        <f t="shared" ca="1" si="1"/>
        <v>YES</v>
      </c>
    </row>
    <row r="11" spans="1:9" x14ac:dyDescent="0.3">
      <c r="A11" t="s">
        <v>41</v>
      </c>
      <c r="B11" t="s">
        <v>8</v>
      </c>
      <c r="C11" t="s">
        <v>9</v>
      </c>
      <c r="D11" t="s">
        <v>26</v>
      </c>
      <c r="E11" t="s">
        <v>17</v>
      </c>
      <c r="F11" s="3">
        <v>45693</v>
      </c>
      <c r="G11" t="s">
        <v>42</v>
      </c>
      <c r="H11">
        <f t="shared" ca="1" si="0"/>
        <v>22</v>
      </c>
      <c r="I11" t="str">
        <f t="shared" si="1"/>
        <v>NO</v>
      </c>
    </row>
    <row r="12" spans="1:9" x14ac:dyDescent="0.3">
      <c r="A12" t="s">
        <v>43</v>
      </c>
      <c r="B12" t="s">
        <v>25</v>
      </c>
      <c r="C12" t="s">
        <v>9</v>
      </c>
      <c r="D12" t="s">
        <v>26</v>
      </c>
      <c r="E12" t="s">
        <v>30</v>
      </c>
      <c r="F12" s="1">
        <v>45727</v>
      </c>
      <c r="G12" t="s">
        <v>44</v>
      </c>
      <c r="H12">
        <f t="shared" ca="1" si="0"/>
        <v>0</v>
      </c>
      <c r="I12" t="str">
        <f t="shared" ca="1" si="1"/>
        <v>NO</v>
      </c>
    </row>
    <row r="13" spans="1:9" x14ac:dyDescent="0.3">
      <c r="A13" t="s">
        <v>45</v>
      </c>
      <c r="B13" t="s">
        <v>20</v>
      </c>
      <c r="C13" t="s">
        <v>46</v>
      </c>
      <c r="D13" t="s">
        <v>10</v>
      </c>
      <c r="E13" t="s">
        <v>11</v>
      </c>
      <c r="F13" s="2">
        <v>45701</v>
      </c>
      <c r="G13" t="s">
        <v>47</v>
      </c>
      <c r="H13" t="str">
        <f t="shared" ca="1" si="0"/>
        <v>N/A</v>
      </c>
      <c r="I13" t="str">
        <f t="shared" si="1"/>
        <v>NO</v>
      </c>
    </row>
    <row r="14" spans="1:9" x14ac:dyDescent="0.3">
      <c r="A14" t="s">
        <v>48</v>
      </c>
      <c r="B14" t="s">
        <v>8</v>
      </c>
      <c r="C14" t="s">
        <v>29</v>
      </c>
      <c r="D14" t="s">
        <v>16</v>
      </c>
      <c r="E14" t="s">
        <v>22</v>
      </c>
      <c r="F14" s="1">
        <v>45738</v>
      </c>
      <c r="G14" t="s">
        <v>49</v>
      </c>
      <c r="H14">
        <f t="shared" ca="1" si="0"/>
        <v>0</v>
      </c>
      <c r="I14" t="str">
        <f t="shared" ca="1" si="1"/>
        <v>YES</v>
      </c>
    </row>
    <row r="15" spans="1:9" x14ac:dyDescent="0.3">
      <c r="A15" t="s">
        <v>50</v>
      </c>
      <c r="B15" t="s">
        <v>8</v>
      </c>
      <c r="C15" t="s">
        <v>46</v>
      </c>
      <c r="D15" t="s">
        <v>10</v>
      </c>
      <c r="E15" t="s">
        <v>22</v>
      </c>
      <c r="F15" s="1">
        <v>45737</v>
      </c>
      <c r="G15" t="s">
        <v>51</v>
      </c>
      <c r="H15">
        <f t="shared" ca="1" si="0"/>
        <v>0</v>
      </c>
      <c r="I15" t="str">
        <f t="shared" ca="1" si="1"/>
        <v>NO</v>
      </c>
    </row>
    <row r="16" spans="1:9" x14ac:dyDescent="0.3">
      <c r="A16" t="s">
        <v>52</v>
      </c>
      <c r="B16" t="s">
        <v>14</v>
      </c>
      <c r="C16" t="s">
        <v>29</v>
      </c>
      <c r="D16" t="s">
        <v>16</v>
      </c>
      <c r="E16" t="s">
        <v>30</v>
      </c>
      <c r="F16" s="1">
        <v>45721</v>
      </c>
      <c r="G16" t="s">
        <v>53</v>
      </c>
      <c r="H16">
        <f t="shared" ca="1" si="0"/>
        <v>0</v>
      </c>
      <c r="I16" t="str">
        <f t="shared" ca="1" si="1"/>
        <v>YES</v>
      </c>
    </row>
    <row r="17" spans="1:9" x14ac:dyDescent="0.3">
      <c r="A17" t="s">
        <v>54</v>
      </c>
      <c r="B17" t="s">
        <v>33</v>
      </c>
      <c r="C17" t="s">
        <v>29</v>
      </c>
      <c r="D17" t="s">
        <v>10</v>
      </c>
      <c r="E17" t="s">
        <v>17</v>
      </c>
      <c r="F17" s="1">
        <v>45739</v>
      </c>
      <c r="G17" t="s">
        <v>55</v>
      </c>
      <c r="H17">
        <f t="shared" ca="1" si="0"/>
        <v>0</v>
      </c>
      <c r="I17" t="str">
        <f t="shared" si="1"/>
        <v>NO</v>
      </c>
    </row>
    <row r="18" spans="1:9" x14ac:dyDescent="0.3">
      <c r="A18" t="s">
        <v>56</v>
      </c>
      <c r="B18" t="s">
        <v>25</v>
      </c>
      <c r="C18" t="s">
        <v>46</v>
      </c>
      <c r="D18" t="s">
        <v>26</v>
      </c>
      <c r="E18" t="s">
        <v>11</v>
      </c>
      <c r="F18" s="2">
        <v>45765</v>
      </c>
      <c r="G18" t="s">
        <v>57</v>
      </c>
      <c r="H18" t="str">
        <f t="shared" ca="1" si="0"/>
        <v>N/A</v>
      </c>
      <c r="I18" t="str">
        <f t="shared" si="1"/>
        <v>NO</v>
      </c>
    </row>
    <row r="19" spans="1:9" x14ac:dyDescent="0.3">
      <c r="A19" t="s">
        <v>58</v>
      </c>
      <c r="B19" t="s">
        <v>14</v>
      </c>
      <c r="C19" t="s">
        <v>29</v>
      </c>
      <c r="D19" t="s">
        <v>10</v>
      </c>
      <c r="E19" t="s">
        <v>22</v>
      </c>
      <c r="F19" s="3">
        <v>45692</v>
      </c>
      <c r="G19" t="s">
        <v>59</v>
      </c>
      <c r="H19">
        <f t="shared" ca="1" si="0"/>
        <v>23</v>
      </c>
      <c r="I19" t="str">
        <f t="shared" ca="1" si="1"/>
        <v>YES</v>
      </c>
    </row>
    <row r="20" spans="1:9" x14ac:dyDescent="0.3">
      <c r="A20" t="s">
        <v>60</v>
      </c>
      <c r="B20" t="s">
        <v>8</v>
      </c>
      <c r="C20" t="s">
        <v>46</v>
      </c>
      <c r="D20" t="s">
        <v>16</v>
      </c>
      <c r="E20" t="s">
        <v>30</v>
      </c>
      <c r="F20" s="3">
        <v>45703</v>
      </c>
      <c r="G20" t="s">
        <v>61</v>
      </c>
      <c r="H20">
        <f t="shared" ca="1" si="0"/>
        <v>12</v>
      </c>
      <c r="I20" t="str">
        <f t="shared" ca="1" si="1"/>
        <v>NO</v>
      </c>
    </row>
    <row r="21" spans="1:9" x14ac:dyDescent="0.3">
      <c r="A21" t="s">
        <v>62</v>
      </c>
      <c r="B21" t="s">
        <v>14</v>
      </c>
      <c r="C21" t="s">
        <v>15</v>
      </c>
      <c r="D21" t="s">
        <v>16</v>
      </c>
      <c r="E21" t="s">
        <v>22</v>
      </c>
      <c r="F21" s="1">
        <v>45757</v>
      </c>
      <c r="G21" t="s">
        <v>63</v>
      </c>
      <c r="H21">
        <f t="shared" ca="1" si="0"/>
        <v>0</v>
      </c>
      <c r="I21" t="str">
        <f t="shared" ca="1" si="1"/>
        <v>NO</v>
      </c>
    </row>
    <row r="22" spans="1:9" x14ac:dyDescent="0.3">
      <c r="A22" t="s">
        <v>64</v>
      </c>
      <c r="B22" t="s">
        <v>33</v>
      </c>
      <c r="C22" t="s">
        <v>15</v>
      </c>
      <c r="D22" t="s">
        <v>16</v>
      </c>
      <c r="E22" t="s">
        <v>11</v>
      </c>
      <c r="F22" s="2">
        <v>45697</v>
      </c>
      <c r="G22" t="s">
        <v>65</v>
      </c>
      <c r="H22" t="str">
        <f t="shared" ca="1" si="0"/>
        <v>N/A</v>
      </c>
      <c r="I22" t="str">
        <f t="shared" si="1"/>
        <v>NO</v>
      </c>
    </row>
    <row r="23" spans="1:9" x14ac:dyDescent="0.3">
      <c r="A23" t="s">
        <v>66</v>
      </c>
      <c r="B23" t="s">
        <v>8</v>
      </c>
      <c r="C23" t="s">
        <v>9</v>
      </c>
      <c r="D23" t="s">
        <v>16</v>
      </c>
      <c r="E23" t="s">
        <v>11</v>
      </c>
      <c r="F23" s="2">
        <v>45708</v>
      </c>
      <c r="G23" t="s">
        <v>67</v>
      </c>
      <c r="H23" t="str">
        <f t="shared" ca="1" si="0"/>
        <v>N/A</v>
      </c>
      <c r="I23" t="str">
        <f t="shared" si="1"/>
        <v>NO</v>
      </c>
    </row>
    <row r="24" spans="1:9" x14ac:dyDescent="0.3">
      <c r="A24" t="s">
        <v>68</v>
      </c>
      <c r="B24" t="s">
        <v>8</v>
      </c>
      <c r="C24" t="s">
        <v>46</v>
      </c>
      <c r="D24" t="s">
        <v>26</v>
      </c>
      <c r="E24" t="s">
        <v>11</v>
      </c>
      <c r="F24" s="2">
        <v>45764</v>
      </c>
      <c r="G24" t="s">
        <v>69</v>
      </c>
      <c r="H24" t="str">
        <f t="shared" ca="1" si="0"/>
        <v>N/A</v>
      </c>
      <c r="I24" t="str">
        <f t="shared" si="1"/>
        <v>NO</v>
      </c>
    </row>
    <row r="25" spans="1:9" x14ac:dyDescent="0.3">
      <c r="A25" t="s">
        <v>70</v>
      </c>
      <c r="B25" t="s">
        <v>8</v>
      </c>
      <c r="C25" t="s">
        <v>9</v>
      </c>
      <c r="D25" t="s">
        <v>16</v>
      </c>
      <c r="E25" t="s">
        <v>30</v>
      </c>
      <c r="F25" s="1">
        <v>45772</v>
      </c>
      <c r="G25" t="s">
        <v>71</v>
      </c>
      <c r="H25">
        <f t="shared" ca="1" si="0"/>
        <v>0</v>
      </c>
      <c r="I25" t="str">
        <f t="shared" ca="1" si="1"/>
        <v>NO</v>
      </c>
    </row>
    <row r="26" spans="1:9" x14ac:dyDescent="0.3">
      <c r="A26" t="s">
        <v>72</v>
      </c>
      <c r="B26" t="s">
        <v>14</v>
      </c>
      <c r="C26" t="s">
        <v>9</v>
      </c>
      <c r="D26" t="s">
        <v>26</v>
      </c>
      <c r="E26" t="s">
        <v>11</v>
      </c>
      <c r="F26" s="2">
        <v>45773</v>
      </c>
      <c r="G26" t="s">
        <v>73</v>
      </c>
      <c r="H26" t="str">
        <f t="shared" ca="1" si="0"/>
        <v>N/A</v>
      </c>
      <c r="I26" t="str">
        <f t="shared" si="1"/>
        <v>NO</v>
      </c>
    </row>
    <row r="27" spans="1:9" x14ac:dyDescent="0.3">
      <c r="A27" t="s">
        <v>74</v>
      </c>
      <c r="B27" t="s">
        <v>25</v>
      </c>
      <c r="C27" t="s">
        <v>29</v>
      </c>
      <c r="D27" t="s">
        <v>10</v>
      </c>
      <c r="E27" t="s">
        <v>30</v>
      </c>
      <c r="F27" s="1">
        <v>45762</v>
      </c>
      <c r="G27" t="s">
        <v>75</v>
      </c>
      <c r="H27">
        <f t="shared" ca="1" si="0"/>
        <v>0</v>
      </c>
      <c r="I27" t="str">
        <f t="shared" ca="1" si="1"/>
        <v>YES</v>
      </c>
    </row>
    <row r="28" spans="1:9" x14ac:dyDescent="0.3">
      <c r="A28" t="s">
        <v>76</v>
      </c>
      <c r="B28" t="s">
        <v>8</v>
      </c>
      <c r="C28" t="s">
        <v>46</v>
      </c>
      <c r="D28" t="s">
        <v>10</v>
      </c>
      <c r="E28" t="s">
        <v>22</v>
      </c>
      <c r="F28" s="1">
        <v>45753</v>
      </c>
      <c r="G28" t="s">
        <v>77</v>
      </c>
      <c r="H28">
        <f t="shared" ca="1" si="0"/>
        <v>0</v>
      </c>
      <c r="I28" t="str">
        <f t="shared" ca="1" si="1"/>
        <v>NO</v>
      </c>
    </row>
    <row r="29" spans="1:9" x14ac:dyDescent="0.3">
      <c r="A29" t="s">
        <v>78</v>
      </c>
      <c r="B29" t="s">
        <v>33</v>
      </c>
      <c r="C29" t="s">
        <v>46</v>
      </c>
      <c r="D29" t="s">
        <v>10</v>
      </c>
      <c r="E29" t="s">
        <v>17</v>
      </c>
      <c r="F29" s="1">
        <v>45729</v>
      </c>
      <c r="G29" t="s">
        <v>79</v>
      </c>
      <c r="H29">
        <f t="shared" ca="1" si="0"/>
        <v>0</v>
      </c>
      <c r="I29" t="str">
        <f t="shared" si="1"/>
        <v>NO</v>
      </c>
    </row>
    <row r="30" spans="1:9" x14ac:dyDescent="0.3">
      <c r="A30" t="s">
        <v>80</v>
      </c>
      <c r="B30" t="s">
        <v>20</v>
      </c>
      <c r="C30" t="s">
        <v>46</v>
      </c>
      <c r="D30" t="s">
        <v>16</v>
      </c>
      <c r="E30" t="s">
        <v>22</v>
      </c>
      <c r="F30" s="1">
        <v>45737</v>
      </c>
      <c r="G30" t="s">
        <v>81</v>
      </c>
      <c r="H30">
        <f t="shared" ca="1" si="0"/>
        <v>0</v>
      </c>
      <c r="I30" t="str">
        <f t="shared" ca="1" si="1"/>
        <v>NO</v>
      </c>
    </row>
    <row r="31" spans="1:9" x14ac:dyDescent="0.3">
      <c r="A31" t="s">
        <v>82</v>
      </c>
      <c r="B31" t="s">
        <v>25</v>
      </c>
      <c r="C31" t="s">
        <v>15</v>
      </c>
      <c r="D31" t="s">
        <v>10</v>
      </c>
      <c r="E31" t="s">
        <v>17</v>
      </c>
      <c r="F31" s="3">
        <v>45704</v>
      </c>
      <c r="G31" t="s">
        <v>83</v>
      </c>
      <c r="H31">
        <f t="shared" ca="1" si="0"/>
        <v>11</v>
      </c>
      <c r="I31" t="str">
        <f t="shared" si="1"/>
        <v>NO</v>
      </c>
    </row>
    <row r="32" spans="1:9" x14ac:dyDescent="0.3">
      <c r="A32" t="s">
        <v>84</v>
      </c>
      <c r="B32" t="s">
        <v>33</v>
      </c>
      <c r="C32" t="s">
        <v>46</v>
      </c>
      <c r="D32" t="s">
        <v>10</v>
      </c>
      <c r="E32" t="s">
        <v>11</v>
      </c>
      <c r="F32" s="2">
        <v>45772</v>
      </c>
      <c r="G32" t="s">
        <v>85</v>
      </c>
      <c r="H32" t="str">
        <f t="shared" ca="1" si="0"/>
        <v>N/A</v>
      </c>
      <c r="I32" t="str">
        <f t="shared" si="1"/>
        <v>NO</v>
      </c>
    </row>
    <row r="33" spans="1:9" x14ac:dyDescent="0.3">
      <c r="A33" t="s">
        <v>86</v>
      </c>
      <c r="B33" t="s">
        <v>8</v>
      </c>
      <c r="C33" t="s">
        <v>29</v>
      </c>
      <c r="D33" t="s">
        <v>26</v>
      </c>
      <c r="E33" t="s">
        <v>22</v>
      </c>
      <c r="F33" s="1">
        <v>45739</v>
      </c>
      <c r="G33" t="s">
        <v>87</v>
      </c>
      <c r="H33">
        <f t="shared" ca="1" si="0"/>
        <v>0</v>
      </c>
      <c r="I33" t="str">
        <f t="shared" ca="1" si="1"/>
        <v>YES</v>
      </c>
    </row>
    <row r="34" spans="1:9" x14ac:dyDescent="0.3">
      <c r="A34" t="s">
        <v>88</v>
      </c>
      <c r="B34" t="s">
        <v>25</v>
      </c>
      <c r="C34" t="s">
        <v>9</v>
      </c>
      <c r="D34" t="s">
        <v>26</v>
      </c>
      <c r="E34" t="s">
        <v>30</v>
      </c>
      <c r="F34" s="1">
        <v>45721</v>
      </c>
      <c r="G34" t="s">
        <v>89</v>
      </c>
      <c r="H34">
        <f t="shared" ca="1" si="0"/>
        <v>0</v>
      </c>
      <c r="I34" t="str">
        <f t="shared" ca="1" si="1"/>
        <v>NO</v>
      </c>
    </row>
    <row r="35" spans="1:9" x14ac:dyDescent="0.3">
      <c r="A35" t="s">
        <v>90</v>
      </c>
      <c r="B35" t="s">
        <v>33</v>
      </c>
      <c r="C35" t="s">
        <v>29</v>
      </c>
      <c r="D35" t="s">
        <v>10</v>
      </c>
      <c r="E35" t="s">
        <v>17</v>
      </c>
      <c r="F35" s="1">
        <v>45738</v>
      </c>
      <c r="G35" t="s">
        <v>91</v>
      </c>
      <c r="H35">
        <f t="shared" ca="1" si="0"/>
        <v>0</v>
      </c>
      <c r="I35" t="str">
        <f t="shared" si="1"/>
        <v>NO</v>
      </c>
    </row>
    <row r="36" spans="1:9" x14ac:dyDescent="0.3">
      <c r="A36" t="s">
        <v>92</v>
      </c>
      <c r="B36" t="s">
        <v>33</v>
      </c>
      <c r="C36" t="s">
        <v>29</v>
      </c>
      <c r="D36" t="s">
        <v>16</v>
      </c>
      <c r="E36" t="s">
        <v>11</v>
      </c>
      <c r="F36" s="2">
        <v>45771</v>
      </c>
      <c r="G36" t="s">
        <v>93</v>
      </c>
      <c r="H36" t="str">
        <f t="shared" ca="1" si="0"/>
        <v>N/A</v>
      </c>
      <c r="I36" t="str">
        <f t="shared" si="1"/>
        <v>NO</v>
      </c>
    </row>
    <row r="37" spans="1:9" x14ac:dyDescent="0.3">
      <c r="A37" t="s">
        <v>94</v>
      </c>
      <c r="B37" t="s">
        <v>25</v>
      </c>
      <c r="C37" t="s">
        <v>46</v>
      </c>
      <c r="D37" t="s">
        <v>21</v>
      </c>
      <c r="E37" t="s">
        <v>22</v>
      </c>
      <c r="F37" s="3">
        <v>45685</v>
      </c>
      <c r="G37" t="s">
        <v>95</v>
      </c>
      <c r="H37">
        <f t="shared" ca="1" si="0"/>
        <v>30</v>
      </c>
      <c r="I37" t="str">
        <f t="shared" ca="1" si="1"/>
        <v>YES</v>
      </c>
    </row>
    <row r="38" spans="1:9" x14ac:dyDescent="0.3">
      <c r="A38" t="s">
        <v>96</v>
      </c>
      <c r="B38" t="s">
        <v>20</v>
      </c>
      <c r="C38" t="s">
        <v>46</v>
      </c>
      <c r="D38" t="s">
        <v>21</v>
      </c>
      <c r="E38" t="s">
        <v>30</v>
      </c>
      <c r="F38" s="3">
        <v>45686</v>
      </c>
      <c r="G38" t="s">
        <v>97</v>
      </c>
      <c r="H38">
        <f t="shared" ca="1" si="0"/>
        <v>29</v>
      </c>
      <c r="I38" t="str">
        <f t="shared" ca="1" si="1"/>
        <v>YES</v>
      </c>
    </row>
    <row r="39" spans="1:9" x14ac:dyDescent="0.3">
      <c r="A39" t="s">
        <v>98</v>
      </c>
      <c r="B39" t="s">
        <v>33</v>
      </c>
      <c r="C39" t="s">
        <v>46</v>
      </c>
      <c r="D39" t="s">
        <v>26</v>
      </c>
      <c r="E39" t="s">
        <v>22</v>
      </c>
      <c r="F39" s="1">
        <v>45752</v>
      </c>
      <c r="G39" t="s">
        <v>99</v>
      </c>
      <c r="H39">
        <f t="shared" ca="1" si="0"/>
        <v>0</v>
      </c>
      <c r="I39" t="str">
        <f t="shared" ca="1" si="1"/>
        <v>NO</v>
      </c>
    </row>
    <row r="40" spans="1:9" x14ac:dyDescent="0.3">
      <c r="A40" t="s">
        <v>100</v>
      </c>
      <c r="B40" t="s">
        <v>20</v>
      </c>
      <c r="C40" t="s">
        <v>29</v>
      </c>
      <c r="D40" t="s">
        <v>26</v>
      </c>
      <c r="E40" t="s">
        <v>11</v>
      </c>
      <c r="F40" s="2">
        <v>45766</v>
      </c>
      <c r="G40" t="s">
        <v>101</v>
      </c>
      <c r="H40" t="str">
        <f t="shared" ca="1" si="0"/>
        <v>N/A</v>
      </c>
      <c r="I40" t="str">
        <f t="shared" si="1"/>
        <v>NO</v>
      </c>
    </row>
    <row r="41" spans="1:9" x14ac:dyDescent="0.3">
      <c r="A41" t="s">
        <v>102</v>
      </c>
      <c r="B41" t="s">
        <v>33</v>
      </c>
      <c r="C41" t="s">
        <v>29</v>
      </c>
      <c r="D41" t="s">
        <v>26</v>
      </c>
      <c r="E41" t="s">
        <v>30</v>
      </c>
      <c r="F41" s="1">
        <v>45769</v>
      </c>
      <c r="G41" t="s">
        <v>103</v>
      </c>
      <c r="H41">
        <f t="shared" ca="1" si="0"/>
        <v>0</v>
      </c>
      <c r="I41" t="str">
        <f t="shared" ca="1" si="1"/>
        <v>YES</v>
      </c>
    </row>
    <row r="42" spans="1:9" x14ac:dyDescent="0.3">
      <c r="A42" t="s">
        <v>104</v>
      </c>
      <c r="B42" t="s">
        <v>33</v>
      </c>
      <c r="C42" t="s">
        <v>46</v>
      </c>
      <c r="D42" t="s">
        <v>10</v>
      </c>
      <c r="E42" t="s">
        <v>17</v>
      </c>
      <c r="F42" s="1">
        <v>45743</v>
      </c>
      <c r="G42" t="s">
        <v>105</v>
      </c>
      <c r="H42">
        <f t="shared" ca="1" si="0"/>
        <v>0</v>
      </c>
      <c r="I42" t="str">
        <f t="shared" si="1"/>
        <v>NO</v>
      </c>
    </row>
    <row r="43" spans="1:9" x14ac:dyDescent="0.3">
      <c r="A43" t="s">
        <v>106</v>
      </c>
      <c r="B43" t="s">
        <v>25</v>
      </c>
      <c r="C43" t="s">
        <v>9</v>
      </c>
      <c r="D43" t="s">
        <v>10</v>
      </c>
      <c r="E43" t="s">
        <v>11</v>
      </c>
      <c r="F43" s="2">
        <v>45762</v>
      </c>
      <c r="G43" t="s">
        <v>107</v>
      </c>
      <c r="H43" t="str">
        <f t="shared" ca="1" si="0"/>
        <v>N/A</v>
      </c>
      <c r="I43" t="str">
        <f t="shared" si="1"/>
        <v>NO</v>
      </c>
    </row>
    <row r="44" spans="1:9" x14ac:dyDescent="0.3">
      <c r="A44" t="s">
        <v>108</v>
      </c>
      <c r="B44" t="s">
        <v>33</v>
      </c>
      <c r="C44" t="s">
        <v>46</v>
      </c>
      <c r="D44" t="s">
        <v>26</v>
      </c>
      <c r="E44" t="s">
        <v>17</v>
      </c>
      <c r="F44" s="3">
        <v>45703</v>
      </c>
      <c r="G44" t="s">
        <v>109</v>
      </c>
      <c r="H44">
        <f t="shared" ca="1" si="0"/>
        <v>12</v>
      </c>
      <c r="I44" t="str">
        <f t="shared" si="1"/>
        <v>NO</v>
      </c>
    </row>
    <row r="45" spans="1:9" x14ac:dyDescent="0.3">
      <c r="A45" t="s">
        <v>110</v>
      </c>
      <c r="B45" t="s">
        <v>20</v>
      </c>
      <c r="C45" t="s">
        <v>15</v>
      </c>
      <c r="D45" t="s">
        <v>16</v>
      </c>
      <c r="E45" t="s">
        <v>22</v>
      </c>
      <c r="F45" s="3">
        <v>45712</v>
      </c>
      <c r="G45" t="s">
        <v>111</v>
      </c>
      <c r="H45">
        <f t="shared" ca="1" si="0"/>
        <v>3</v>
      </c>
      <c r="I45" t="str">
        <f t="shared" ca="1" si="1"/>
        <v>NO</v>
      </c>
    </row>
    <row r="46" spans="1:9" x14ac:dyDescent="0.3">
      <c r="A46" t="s">
        <v>112</v>
      </c>
      <c r="B46" t="s">
        <v>20</v>
      </c>
      <c r="C46" t="s">
        <v>15</v>
      </c>
      <c r="D46" t="s">
        <v>26</v>
      </c>
      <c r="E46" t="s">
        <v>22</v>
      </c>
      <c r="F46" s="1">
        <v>45758</v>
      </c>
      <c r="G46" t="s">
        <v>113</v>
      </c>
      <c r="H46">
        <f t="shared" ca="1" si="0"/>
        <v>0</v>
      </c>
      <c r="I46" t="str">
        <f t="shared" ca="1" si="1"/>
        <v>NO</v>
      </c>
    </row>
    <row r="47" spans="1:9" x14ac:dyDescent="0.3">
      <c r="A47" t="s">
        <v>114</v>
      </c>
      <c r="B47" t="s">
        <v>33</v>
      </c>
      <c r="C47" t="s">
        <v>46</v>
      </c>
      <c r="D47" t="s">
        <v>21</v>
      </c>
      <c r="E47" t="s">
        <v>30</v>
      </c>
      <c r="F47" s="1">
        <v>45765</v>
      </c>
      <c r="G47" t="s">
        <v>115</v>
      </c>
      <c r="H47">
        <f t="shared" ca="1" si="0"/>
        <v>0</v>
      </c>
      <c r="I47" t="str">
        <f t="shared" ca="1" si="1"/>
        <v>NO</v>
      </c>
    </row>
    <row r="48" spans="1:9" x14ac:dyDescent="0.3">
      <c r="A48" t="s">
        <v>116</v>
      </c>
      <c r="B48" t="s">
        <v>14</v>
      </c>
      <c r="C48" t="s">
        <v>46</v>
      </c>
      <c r="D48" t="s">
        <v>21</v>
      </c>
      <c r="E48" t="s">
        <v>11</v>
      </c>
      <c r="F48" s="2">
        <v>45706</v>
      </c>
      <c r="G48" t="s">
        <v>117</v>
      </c>
      <c r="H48" t="str">
        <f t="shared" ca="1" si="0"/>
        <v>N/A</v>
      </c>
      <c r="I48" t="str">
        <f t="shared" si="1"/>
        <v>NO</v>
      </c>
    </row>
    <row r="49" spans="1:9" x14ac:dyDescent="0.3">
      <c r="A49" t="s">
        <v>118</v>
      </c>
      <c r="B49" t="s">
        <v>25</v>
      </c>
      <c r="C49" t="s">
        <v>29</v>
      </c>
      <c r="D49" t="s">
        <v>16</v>
      </c>
      <c r="E49" t="s">
        <v>22</v>
      </c>
      <c r="F49" s="1">
        <v>45722</v>
      </c>
      <c r="G49" t="s">
        <v>119</v>
      </c>
      <c r="H49">
        <f t="shared" ca="1" si="0"/>
        <v>0</v>
      </c>
      <c r="I49" t="str">
        <f t="shared" ca="1" si="1"/>
        <v>YES</v>
      </c>
    </row>
    <row r="50" spans="1:9" x14ac:dyDescent="0.3">
      <c r="A50" t="s">
        <v>120</v>
      </c>
      <c r="B50" t="s">
        <v>25</v>
      </c>
      <c r="C50" t="s">
        <v>46</v>
      </c>
      <c r="D50" t="s">
        <v>16</v>
      </c>
      <c r="E50" t="s">
        <v>30</v>
      </c>
      <c r="F50" s="1">
        <v>45742</v>
      </c>
      <c r="G50" t="s">
        <v>121</v>
      </c>
      <c r="H50">
        <f t="shared" ca="1" si="0"/>
        <v>0</v>
      </c>
      <c r="I50" t="str">
        <f t="shared" ca="1" si="1"/>
        <v>NO</v>
      </c>
    </row>
    <row r="51" spans="1:9" x14ac:dyDescent="0.3">
      <c r="A51" t="s">
        <v>122</v>
      </c>
      <c r="B51" t="s">
        <v>25</v>
      </c>
      <c r="C51" t="s">
        <v>15</v>
      </c>
      <c r="D51" t="s">
        <v>21</v>
      </c>
      <c r="E51" t="s">
        <v>22</v>
      </c>
      <c r="F51" s="3">
        <v>45690</v>
      </c>
      <c r="G51" t="s">
        <v>123</v>
      </c>
      <c r="H51">
        <f t="shared" ca="1" si="0"/>
        <v>25</v>
      </c>
      <c r="I51" t="str">
        <f t="shared" ca="1" si="1"/>
        <v>YES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security_risk_data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Kartik</dc:creator>
  <cp:lastModifiedBy>Kartik Page</cp:lastModifiedBy>
  <dcterms:created xsi:type="dcterms:W3CDTF">2025-02-27T07:25:25Z</dcterms:created>
  <dcterms:modified xsi:type="dcterms:W3CDTF">2025-02-27T12:16:12Z</dcterms:modified>
</cp:coreProperties>
</file>